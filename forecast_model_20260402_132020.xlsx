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ulations" sheetId="2" state="visible" r:id="rId2"/>
    <sheet name="Summary" sheetId="3" state="visible" r:id="rId3"/>
  </sheets>
  <definedNames>
    <definedName name="_xlnm.Print_Area" localSheetId="0">'Inputs'!$A$1:$G$52</definedName>
    <definedName name="_xlnm.Print_Area" localSheetId="1">'Calculations'!$A$1:$I$37</definedName>
    <definedName name="_xlnm.Print_Area" localSheetId="2">'Summary'!$A$1:$I$43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0"/>
    <numFmt numFmtId="166" formatCode="$#,##0.0&quot;M&quot;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color rgb="001F4E79"/>
      <sz val="10"/>
    </font>
    <font>
      <b val="1"/>
      <color rgb="00FFFFFF"/>
      <sz val="10"/>
    </font>
    <font>
      <b val="1"/>
      <color rgb="00000000"/>
      <sz val="10"/>
    </font>
    <font>
      <b val="1"/>
      <color rgb="00FFFFFF"/>
      <sz val="16"/>
    </font>
    <font>
      <i val="1"/>
      <color rgb="001F4E79"/>
      <sz val="11"/>
    </font>
    <font>
      <color rgb="00000000"/>
      <sz val="10"/>
    </font>
    <font>
      <b val="1"/>
      <color rgb="001F4E79"/>
      <sz val="12"/>
    </font>
    <font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7" fontId="3" fillId="8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7" fontId="9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167" fontId="9" fillId="6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0" fontId="9" fillId="6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2" customWidth="1" min="4" max="4"/>
    <col width="45" customWidth="1" min="5" max="5"/>
    <col width="14" customWidth="1" min="6" max="6"/>
    <col width="14" customWidth="1" min="7" max="7"/>
  </cols>
  <sheetData>
    <row r="1" ht="30" customHeight="1">
      <c r="A1" s="1" t="inlineStr">
        <is>
          <t>Keytruda (PD-1 Inhibitor) – Oncology Forecast | United States</t>
        </is>
      </c>
    </row>
    <row r="2" ht="22" customHeight="1">
      <c r="A2" s="2" t="inlineStr">
        <is>
          <t>Parameter</t>
        </is>
      </c>
      <c r="B2" s="2" t="inlineStr">
        <is>
          <t>Base Value</t>
        </is>
      </c>
      <c r="C2" s="2" t="inlineStr">
        <is>
          <t>YoY Growth (%)</t>
        </is>
      </c>
      <c r="D2" s="2" t="inlineStr">
        <is>
          <t>Range (Min–Max)</t>
        </is>
      </c>
      <c r="E2" s="2" t="inlineStr">
        <is>
          <t>Rationale / Notes</t>
        </is>
      </c>
    </row>
    <row r="3" ht="20" customHeight="1">
      <c r="A3" s="3" t="inlineStr">
        <is>
          <t>SECTION 1 – General Parameters</t>
        </is>
      </c>
      <c r="B3" s="14" t="n"/>
      <c r="C3" s="14" t="n"/>
      <c r="D3" s="14" t="n"/>
      <c r="E3" s="15" t="n"/>
    </row>
    <row r="4" ht="18" customHeight="1">
      <c r="A4" s="4" t="inlineStr">
        <is>
          <t>Product Name</t>
        </is>
      </c>
      <c r="B4" s="5" t="inlineStr">
        <is>
          <t>Keytruda</t>
        </is>
      </c>
      <c r="C4" s="6" t="inlineStr"/>
      <c r="D4" s="6" t="inlineStr"/>
      <c r="E4" s="4" t="inlineStr">
        <is>
          <t>Brand name of the product</t>
        </is>
      </c>
    </row>
    <row r="5" ht="18" customHeight="1">
      <c r="A5" s="7" t="inlineStr">
        <is>
          <t>Class / MoA</t>
        </is>
      </c>
      <c r="B5" s="5" t="inlineStr">
        <is>
          <t>PD-1 Inhibitor</t>
        </is>
      </c>
      <c r="C5" s="8" t="inlineStr"/>
      <c r="D5" s="8" t="inlineStr"/>
      <c r="E5" s="7" t="inlineStr">
        <is>
          <t>Mechanism of action</t>
        </is>
      </c>
    </row>
    <row r="6" ht="18" customHeight="1">
      <c r="A6" s="4" t="inlineStr">
        <is>
          <t>Indication</t>
        </is>
      </c>
      <c r="B6" s="5" t="inlineStr">
        <is>
          <t>Oncology</t>
        </is>
      </c>
      <c r="C6" s="6" t="inlineStr"/>
      <c r="D6" s="6" t="inlineStr"/>
      <c r="E6" s="4" t="inlineStr">
        <is>
          <t>Therapeutic indication</t>
        </is>
      </c>
    </row>
    <row r="7" ht="18" customHeight="1">
      <c r="A7" s="7" t="inlineStr">
        <is>
          <t>Country</t>
        </is>
      </c>
      <c r="B7" s="5" t="inlineStr">
        <is>
          <t>United States</t>
        </is>
      </c>
      <c r="C7" s="8" t="inlineStr"/>
      <c r="D7" s="8" t="inlineStr"/>
      <c r="E7" s="7" t="inlineStr">
        <is>
          <t>Target market</t>
        </is>
      </c>
    </row>
    <row r="8" ht="18" customHeight="1">
      <c r="A8" s="4" t="inlineStr">
        <is>
          <t>Launch Year</t>
        </is>
      </c>
      <c r="B8" s="5" t="n">
        <v>2026</v>
      </c>
      <c r="C8" s="6" t="inlineStr"/>
      <c r="D8" s="6" t="inlineStr"/>
      <c r="E8" s="4" t="inlineStr">
        <is>
          <t>Year of commercial launch</t>
        </is>
      </c>
    </row>
    <row r="9" ht="18" customHeight="1">
      <c r="A9" s="7" t="inlineStr">
        <is>
          <t>Peak Year</t>
        </is>
      </c>
      <c r="B9" s="5" t="n">
        <v>2031</v>
      </c>
      <c r="C9" s="8" t="inlineStr"/>
      <c r="D9" s="8" t="inlineStr"/>
      <c r="E9" s="7" t="inlineStr">
        <is>
          <t>Year of peak sales</t>
        </is>
      </c>
    </row>
    <row r="10" ht="18" customHeight="1">
      <c r="A10" s="4" t="inlineStr">
        <is>
          <t>Forecast Period</t>
        </is>
      </c>
      <c r="B10" s="5" t="inlineStr">
        <is>
          <t>2026 – 2031</t>
        </is>
      </c>
      <c r="C10" s="6" t="inlineStr"/>
      <c r="D10" s="6" t="inlineStr">
        <is>
          <t>6 years (inclusive)</t>
        </is>
      </c>
      <c r="E10" s="4" t="inlineStr">
        <is>
          <t>peak_year - launch_year + 1 = 6 years</t>
        </is>
      </c>
    </row>
    <row r="11" ht="20" customHeight="1">
      <c r="A11" s="3" t="inlineStr">
        <is>
          <t>SECTION 2 – Population &amp; Epidemiology</t>
        </is>
      </c>
      <c r="B11" s="14" t="n"/>
      <c r="C11" s="14" t="n"/>
      <c r="D11" s="14" t="n"/>
      <c r="E11" s="15" t="n"/>
    </row>
    <row r="12" ht="18" customHeight="1">
      <c r="A12" s="4" t="inlineStr">
        <is>
          <t>Total Population (persons)</t>
        </is>
      </c>
      <c r="B12" s="9" t="n">
        <v>335000000</v>
      </c>
      <c r="C12" s="10" t="n">
        <v>0.005</v>
      </c>
      <c r="D12" s="6" t="inlineStr">
        <is>
          <t>318,250,000 – 351,750,000</t>
        </is>
      </c>
      <c r="E12" s="4" t="inlineStr">
        <is>
          <t>Total US population; 2024 census data</t>
        </is>
      </c>
    </row>
    <row r="13" ht="18" customHeight="1">
      <c r="A13" s="7" t="inlineStr">
        <is>
          <t>Prevalence Rate</t>
        </is>
      </c>
      <c r="B13" s="10" t="n">
        <v>0.0048</v>
      </c>
      <c r="C13" s="10" t="n">
        <v>0.1</v>
      </c>
      <c r="D13" s="8" t="inlineStr">
        <is>
          <t>0.0034 – 0.0062</t>
        </is>
      </c>
      <c r="E13" s="7" t="inlineStr">
        <is>
          <t>Cancer prevalence 0.48% per GLOBOCAN 2023</t>
        </is>
      </c>
    </row>
    <row r="14" ht="18" customHeight="1">
      <c r="A14" s="4" t="inlineStr">
        <is>
          <t>Diagnosis Rate</t>
        </is>
      </c>
      <c r="B14" s="10" t="n">
        <v>0.92</v>
      </c>
      <c r="C14" s="6" t="inlineStr">
        <is>
          <t>—</t>
        </is>
      </c>
      <c r="D14" s="6" t="inlineStr">
        <is>
          <t>78% – 101%</t>
        </is>
      </c>
      <c r="E14" s="4" t="inlineStr">
        <is>
          <t>Diagnosis rate 92%; symptomatic presentation</t>
        </is>
      </c>
    </row>
    <row r="15" ht="18" customHeight="1">
      <c r="A15" s="7" t="inlineStr">
        <is>
          <t>Eligibility Rate (Biomarker +)</t>
        </is>
      </c>
      <c r="B15" s="10" t="n">
        <v>0.68</v>
      </c>
      <c r="C15" s="8" t="inlineStr">
        <is>
          <t>—</t>
        </is>
      </c>
      <c r="D15" s="8" t="inlineStr">
        <is>
          <t>51% – 78%</t>
        </is>
      </c>
      <c r="E15" s="7" t="inlineStr">
        <is>
          <t>68% biomarker positive rate</t>
        </is>
      </c>
    </row>
    <row r="16" ht="18" customHeight="1">
      <c r="A16" s="4" t="inlineStr">
        <is>
          <t>Treatment Rate</t>
        </is>
      </c>
      <c r="B16" s="10" t="n">
        <v>0.77</v>
      </c>
      <c r="C16" s="6" t="inlineStr">
        <is>
          <t>—</t>
        </is>
      </c>
      <c r="D16" s="6" t="inlineStr">
        <is>
          <t>62% – 89%</t>
        </is>
      </c>
      <c r="E16" s="4" t="inlineStr">
        <is>
          <t>Treatment rate 77% for eligible patients</t>
        </is>
      </c>
    </row>
    <row r="17" ht="20" customHeight="1">
      <c r="A17" s="3" t="inlineStr">
        <is>
          <t>SECTION 3 – Market Share Assumptions</t>
        </is>
      </c>
      <c r="B17" s="14" t="n"/>
      <c r="C17" s="14" t="n"/>
      <c r="D17" s="14" t="n"/>
      <c r="E17" s="15" t="n"/>
    </row>
    <row r="18" ht="18" customHeight="1">
      <c r="A18" s="4" t="inlineStr">
        <is>
          <t>Class Share (PD-1 Inhibitors) – Peak</t>
        </is>
      </c>
      <c r="B18" s="10" t="n">
        <v>0.44</v>
      </c>
      <c r="C18" s="6" t="inlineStr">
        <is>
          <t>—</t>
        </is>
      </c>
      <c r="D18" s="6" t="inlineStr">
        <is>
          <t>20% – 55%</t>
        </is>
      </c>
      <c r="E18" s="4" t="inlineStr">
        <is>
          <t>PD-1 Inhibitor expected 44% in target cancer segment</t>
        </is>
      </c>
    </row>
    <row r="19" ht="18" customHeight="1">
      <c r="A19" s="7" t="inlineStr">
        <is>
          <t>Class Share – Starting Share</t>
        </is>
      </c>
      <c r="B19" s="10" t="n">
        <v>0.05</v>
      </c>
      <c r="C19" s="8" t="inlineStr">
        <is>
          <t>—</t>
        </is>
      </c>
      <c r="D19" s="8" t="inlineStr">
        <is>
          <t>—</t>
        </is>
      </c>
      <c r="E19" s="7" t="inlineStr">
        <is>
          <t>Starting class share at launch (Year 1)</t>
        </is>
      </c>
    </row>
    <row r="20" ht="18" customHeight="1">
      <c r="A20" s="4" t="inlineStr">
        <is>
          <t>Class Share – Time to Peak (years)</t>
        </is>
      </c>
      <c r="B20" s="5" t="n">
        <v>5</v>
      </c>
      <c r="C20" s="6" t="inlineStr">
        <is>
          <t>—</t>
        </is>
      </c>
      <c r="D20" s="6" t="inlineStr">
        <is>
          <t>—</t>
        </is>
      </c>
      <c r="E20" s="4" t="inlineStr">
        <is>
          <t>S-curve adoption; 5 years from launch to peak</t>
        </is>
      </c>
    </row>
    <row r="21" ht="18" customHeight="1">
      <c r="A21" s="7" t="inlineStr">
        <is>
          <t>Class Share – Curve Type</t>
        </is>
      </c>
      <c r="B21" s="5" t="inlineStr">
        <is>
          <t>S-Curve</t>
        </is>
      </c>
      <c r="C21" s="8" t="inlineStr">
        <is>
          <t>—</t>
        </is>
      </c>
      <c r="D21" s="8" t="inlineStr">
        <is>
          <t>—</t>
        </is>
      </c>
      <c r="E21" s="7" t="inlineStr">
        <is>
          <t>S-curve ramp from starting share to peak share</t>
        </is>
      </c>
    </row>
    <row r="22" ht="18" customHeight="1">
      <c r="A22" s="4" t="inlineStr">
        <is>
          <t>Product Share (within class) – Peak</t>
        </is>
      </c>
      <c r="B22" s="10" t="n">
        <v>0.31</v>
      </c>
      <c r="C22" s="6" t="inlineStr">
        <is>
          <t>—</t>
        </is>
      </c>
      <c r="D22" s="6" t="inlineStr">
        <is>
          <t>15% – 40%</t>
        </is>
      </c>
      <c r="E22" s="4" t="inlineStr">
        <is>
          <t>31% share; benchmarking recent IO launches</t>
        </is>
      </c>
    </row>
    <row r="23" ht="18" customHeight="1">
      <c r="A23" s="7" t="inlineStr">
        <is>
          <t>Product Share – Starting Share</t>
        </is>
      </c>
      <c r="B23" s="10" t="n">
        <v>0.03</v>
      </c>
      <c r="C23" s="8" t="inlineStr">
        <is>
          <t>—</t>
        </is>
      </c>
      <c r="D23" s="8" t="inlineStr">
        <is>
          <t>—</t>
        </is>
      </c>
      <c r="E23" s="7" t="inlineStr">
        <is>
          <t>Starting product share at launch (Year 1)</t>
        </is>
      </c>
    </row>
    <row r="24" ht="18" customHeight="1">
      <c r="A24" s="4" t="inlineStr">
        <is>
          <t>Product Share – Time to Peak (years)</t>
        </is>
      </c>
      <c r="B24" s="5" t="n">
        <v>5</v>
      </c>
      <c r="C24" s="6" t="inlineStr">
        <is>
          <t>—</t>
        </is>
      </c>
      <c r="D24" s="6" t="inlineStr">
        <is>
          <t>—</t>
        </is>
      </c>
      <c r="E24" s="4" t="inlineStr">
        <is>
          <t>S-curve adoption; 5 years from launch to peak</t>
        </is>
      </c>
    </row>
    <row r="25" ht="18" customHeight="1">
      <c r="A25" s="7" t="inlineStr">
        <is>
          <t>Product Share – Curve Type</t>
        </is>
      </c>
      <c r="B25" s="5" t="inlineStr">
        <is>
          <t>S-Curve</t>
        </is>
      </c>
      <c r="C25" s="8" t="inlineStr">
        <is>
          <t>—</t>
        </is>
      </c>
      <c r="D25" s="8" t="inlineStr">
        <is>
          <t>—</t>
        </is>
      </c>
      <c r="E25" s="7" t="inlineStr">
        <is>
          <t>S-curve ramp from starting share to peak share</t>
        </is>
      </c>
    </row>
    <row r="26" ht="20" customHeight="1">
      <c r="A26" s="3" t="inlineStr">
        <is>
          <t>SECTION 4 – Pricing &amp; Revenue Parameters</t>
        </is>
      </c>
      <c r="B26" s="14" t="n"/>
      <c r="C26" s="14" t="n"/>
      <c r="D26" s="14" t="n"/>
      <c r="E26" s="15" t="n"/>
    </row>
    <row r="27" ht="18" customHeight="1">
      <c r="A27" s="4" t="inlineStr">
        <is>
          <t>Annual Cost per Patient (Gross)</t>
        </is>
      </c>
      <c r="B27" s="11" t="n">
        <v>185000</v>
      </c>
      <c r="C27" s="6" t="inlineStr">
        <is>
          <t>—</t>
        </is>
      </c>
      <c r="D27" s="6" t="inlineStr">
        <is>
          <t>$45,000 – $95,000</t>
        </is>
      </c>
      <c r="E27" s="4" t="inlineStr">
        <is>
          <t>Annual cost $185K per oncology pricing benchmarks</t>
        </is>
      </c>
    </row>
    <row r="28" ht="18" customHeight="1">
      <c r="A28" s="7" t="inlineStr">
        <is>
          <t>Discount Rate</t>
        </is>
      </c>
      <c r="B28" s="10" t="n">
        <v>0.22</v>
      </c>
      <c r="C28" s="8" t="inlineStr">
        <is>
          <t>—</t>
        </is>
      </c>
      <c r="D28" s="8" t="inlineStr">
        <is>
          <t>15% – 30%</t>
        </is>
      </c>
      <c r="E28" s="7" t="inlineStr">
        <is>
          <t>Oncology discounts 15–22% vs primary care</t>
        </is>
      </c>
    </row>
    <row r="29" ht="18" customHeight="1">
      <c r="A29" s="4" t="inlineStr">
        <is>
          <t>Net Price per Patient</t>
        </is>
      </c>
      <c r="B29" s="12">
        <f>B28*(1-B29)</f>
        <v/>
      </c>
      <c r="C29" s="6" t="inlineStr">
        <is>
          <t>—</t>
        </is>
      </c>
      <c r="D29" s="6" t="inlineStr">
        <is>
          <t>—</t>
        </is>
      </c>
      <c r="E29" s="4">
        <f> Annual Cost × (1 – Discount Rate)</f>
        <v/>
      </c>
    </row>
    <row r="30" ht="18" customHeight="1">
      <c r="A30" s="7" t="inlineStr">
        <is>
          <t>Compliance / Persistence Rate</t>
        </is>
      </c>
      <c r="B30" s="10" t="n">
        <v>0.85</v>
      </c>
      <c r="C30" s="8" t="inlineStr">
        <is>
          <t>—</t>
        </is>
      </c>
      <c r="D30" s="8" t="inlineStr">
        <is>
          <t>—</t>
        </is>
      </c>
      <c r="E30" s="7" t="inlineStr">
        <is>
          <t>Default compliance rate (revenue_defaults)</t>
        </is>
      </c>
    </row>
    <row r="32" ht="20" customHeight="1">
      <c r="A32" s="3" t="inlineStr">
        <is>
          <t>SECTION 5 – S-Curve Adoption Schedule (2026–2031)</t>
        </is>
      </c>
      <c r="B32" s="14" t="n"/>
      <c r="C32" s="14" t="n"/>
      <c r="D32" s="14" t="n"/>
      <c r="E32" s="15" t="n"/>
    </row>
    <row r="33" ht="20" customHeight="1">
      <c r="A33" s="2" t="inlineStr">
        <is>
          <t>Metric</t>
        </is>
      </c>
      <c r="B33" s="2" t="inlineStr">
        <is>
          <t>2026</t>
        </is>
      </c>
      <c r="C33" s="2" t="inlineStr">
        <is>
          <t>2027</t>
        </is>
      </c>
      <c r="D33" s="2" t="inlineStr">
        <is>
          <t>2028</t>
        </is>
      </c>
      <c r="E33" s="2" t="inlineStr">
        <is>
          <t>2029</t>
        </is>
      </c>
      <c r="F33" s="2" t="inlineStr">
        <is>
          <t>2030</t>
        </is>
      </c>
      <c r="G33" s="2" t="inlineStr">
        <is>
          <t>2031</t>
        </is>
      </c>
    </row>
    <row r="34" ht="18" customHeight="1">
      <c r="A34" s="4" t="inlineStr">
        <is>
          <t>Class Share (PD-1 Inhibitors)</t>
        </is>
      </c>
      <c r="B34" s="10" t="n">
        <v>0.05</v>
      </c>
      <c r="C34" s="10" t="n">
        <v>0.1</v>
      </c>
      <c r="D34" s="10" t="n">
        <v>0.22</v>
      </c>
      <c r="E34" s="10" t="n">
        <v>0.34</v>
      </c>
      <c r="F34" s="10" t="n">
        <v>0.41</v>
      </c>
      <c r="G34" s="10" t="n">
        <v>0.44</v>
      </c>
    </row>
    <row r="35" ht="18" customHeight="1">
      <c r="A35" s="7" t="inlineStr">
        <is>
          <t>Product Share (within class)</t>
        </is>
      </c>
      <c r="B35" s="10" t="n">
        <v>0.03</v>
      </c>
      <c r="C35" s="10" t="n">
        <v>0.07000000000000001</v>
      </c>
      <c r="D35" s="10" t="n">
        <v>0.15</v>
      </c>
      <c r="E35" s="10" t="n">
        <v>0.23</v>
      </c>
      <c r="F35" s="10" t="n">
        <v>0.28</v>
      </c>
      <c r="G35" s="10" t="n">
        <v>0.31</v>
      </c>
    </row>
    <row r="37" ht="20" customHeight="1">
      <c r="A37" s="3" t="inlineStr">
        <is>
          <t>SECTION 6 – Cell Reference Map (for Calculations sheet)</t>
        </is>
      </c>
      <c r="B37" s="14" t="n"/>
      <c r="C37" s="14" t="n"/>
      <c r="D37" s="14" t="n"/>
      <c r="E37" s="15" t="n"/>
    </row>
    <row r="38" ht="18" customHeight="1">
      <c r="A38" s="13" t="inlineStr">
        <is>
          <t>Cell Ref</t>
        </is>
      </c>
      <c r="B38" s="13" t="inlineStr">
        <is>
          <t>Parameter Name</t>
        </is>
      </c>
      <c r="C38" s="13" t="inlineStr">
        <is>
          <t>Value</t>
        </is>
      </c>
    </row>
    <row r="39" ht="16" customHeight="1">
      <c r="A39" s="6" t="inlineStr">
        <is>
          <t>B4</t>
        </is>
      </c>
      <c r="B39" s="4" t="inlineStr">
        <is>
          <t>Product Name</t>
        </is>
      </c>
      <c r="C39" s="6" t="inlineStr">
        <is>
          <t>Keytruda</t>
        </is>
      </c>
    </row>
    <row r="40" ht="16" customHeight="1">
      <c r="A40" s="8" t="inlineStr">
        <is>
          <t>B8</t>
        </is>
      </c>
      <c r="B40" s="7" t="inlineStr">
        <is>
          <t>Launch Year</t>
        </is>
      </c>
      <c r="C40" s="8" t="n">
        <v>2026</v>
      </c>
    </row>
    <row r="41" ht="16" customHeight="1">
      <c r="A41" s="6" t="inlineStr">
        <is>
          <t>B9</t>
        </is>
      </c>
      <c r="B41" s="4" t="inlineStr">
        <is>
          <t>Peak Year</t>
        </is>
      </c>
      <c r="C41" s="6" t="n">
        <v>2031</v>
      </c>
    </row>
    <row r="42" ht="16" customHeight="1">
      <c r="A42" s="8" t="inlineStr">
        <is>
          <t>B12</t>
        </is>
      </c>
      <c r="B42" s="7" t="inlineStr">
        <is>
          <t>Base Population (persons)</t>
        </is>
      </c>
      <c r="C42" s="8" t="n">
        <v>335000000</v>
      </c>
    </row>
    <row r="43" ht="16" customHeight="1">
      <c r="A43" s="6" t="inlineStr">
        <is>
          <t>B13</t>
        </is>
      </c>
      <c r="B43" s="4" t="inlineStr">
        <is>
          <t>Prevalence Rate</t>
        </is>
      </c>
      <c r="C43" s="6" t="n">
        <v>0.0048</v>
      </c>
    </row>
    <row r="44" ht="16" customHeight="1">
      <c r="A44" s="8" t="inlineStr">
        <is>
          <t>B14</t>
        </is>
      </c>
      <c r="B44" s="7" t="inlineStr">
        <is>
          <t>Diagnosis Rate</t>
        </is>
      </c>
      <c r="C44" s="8" t="n">
        <v>0.92</v>
      </c>
    </row>
    <row r="45" ht="16" customHeight="1">
      <c r="A45" s="6" t="inlineStr">
        <is>
          <t>B15</t>
        </is>
      </c>
      <c r="B45" s="4" t="inlineStr">
        <is>
          <t>Eligibility Rate</t>
        </is>
      </c>
      <c r="C45" s="6" t="n">
        <v>0.68</v>
      </c>
    </row>
    <row r="46" ht="16" customHeight="1">
      <c r="A46" s="8" t="inlineStr">
        <is>
          <t>B16</t>
        </is>
      </c>
      <c r="B46" s="7" t="inlineStr">
        <is>
          <t>Treatment Rate</t>
        </is>
      </c>
      <c r="C46" s="8" t="n">
        <v>0.77</v>
      </c>
    </row>
    <row r="47" ht="16" customHeight="1">
      <c r="A47" s="6" t="inlineStr">
        <is>
          <t>B27</t>
        </is>
      </c>
      <c r="B47" s="4" t="inlineStr">
        <is>
          <t>Annual Cost per Patient (Gross)</t>
        </is>
      </c>
      <c r="C47" s="6" t="n">
        <v>185000</v>
      </c>
    </row>
    <row r="48" ht="16" customHeight="1">
      <c r="A48" s="8" t="inlineStr">
        <is>
          <t>B28</t>
        </is>
      </c>
      <c r="B48" s="7" t="inlineStr">
        <is>
          <t>Discount Rate</t>
        </is>
      </c>
      <c r="C48" s="8" t="n">
        <v>0.22</v>
      </c>
    </row>
    <row r="49" ht="16" customHeight="1">
      <c r="A49" s="6" t="inlineStr">
        <is>
          <t>B30</t>
        </is>
      </c>
      <c r="B49" s="4" t="inlineStr">
        <is>
          <t>Compliance Rate</t>
        </is>
      </c>
      <c r="C49" s="6" t="n">
        <v>0.85</v>
      </c>
    </row>
    <row r="50" ht="16" customHeight="1">
      <c r="A50" s="8" t="inlineStr">
        <is>
          <t>B34</t>
        </is>
      </c>
      <c r="B50" s="7" t="inlineStr">
        <is>
          <t>Class Share Year 1 (2026)</t>
        </is>
      </c>
      <c r="C50" s="8" t="n">
        <v>0.05</v>
      </c>
    </row>
    <row r="51" ht="16" customHeight="1">
      <c r="A51" s="6" t="inlineStr">
        <is>
          <t>B35</t>
        </is>
      </c>
      <c r="B51" s="4" t="inlineStr">
        <is>
          <t>Product Share Year 1 (2026)</t>
        </is>
      </c>
      <c r="C51" s="6" t="n">
        <v>0.03</v>
      </c>
    </row>
  </sheetData>
  <mergeCells count="7">
    <mergeCell ref="A26:E26"/>
    <mergeCell ref="A11:E11"/>
    <mergeCell ref="A1:E1"/>
    <mergeCell ref="A37:E37"/>
    <mergeCell ref="A32:E32"/>
    <mergeCell ref="A17:E17"/>
    <mergeCell ref="A3:E3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Keytruda (PD-1 Inhibitor) – Oncology Forecast | Calculations | United States 2026–2031</t>
        </is>
      </c>
    </row>
    <row r="2" ht="20" customHeight="1">
      <c r="A2" s="16" t="inlineStr">
        <is>
          <t>SECTION 1 – Input Parameters (referenced from Inputs sheet)</t>
        </is>
      </c>
      <c r="B2" s="14" t="n"/>
      <c r="C2" s="14" t="n"/>
      <c r="D2" s="14" t="n"/>
      <c r="E2" s="14" t="n"/>
      <c r="F2" s="14" t="n"/>
      <c r="G2" s="14" t="n"/>
      <c r="H2" s="14" t="n"/>
      <c r="I2" s="15" t="n"/>
    </row>
    <row r="3" ht="22" customHeight="1">
      <c r="A3" s="13" t="inlineStr">
        <is>
          <t>Parameter</t>
        </is>
      </c>
      <c r="B3" s="13" t="inlineStr">
        <is>
          <t>Unit / Notes</t>
        </is>
      </c>
      <c r="C3" s="13" t="inlineStr">
        <is>
          <t>2026</t>
        </is>
      </c>
      <c r="D3" s="13" t="inlineStr">
        <is>
          <t>2027</t>
        </is>
      </c>
      <c r="E3" s="13" t="inlineStr">
        <is>
          <t>2028</t>
        </is>
      </c>
      <c r="F3" s="13" t="inlineStr">
        <is>
          <t>2029</t>
        </is>
      </c>
      <c r="G3" s="13" t="inlineStr">
        <is>
          <t>2030</t>
        </is>
      </c>
      <c r="H3" s="13" t="inlineStr">
        <is>
          <t>2031</t>
        </is>
      </c>
    </row>
    <row r="4" ht="18" customHeight="1">
      <c r="A4" s="4" t="inlineStr">
        <is>
          <t>Base Population</t>
        </is>
      </c>
      <c r="B4" s="6" t="inlineStr">
        <is>
          <t>persons</t>
        </is>
      </c>
      <c r="C4" s="17">
        <f>Inputs!B12</f>
        <v/>
      </c>
      <c r="D4" s="17">
        <f>C4*(1+Inputs!$C$12)</f>
        <v/>
      </c>
      <c r="E4" s="17">
        <f>D4*(1+Inputs!$C$12)</f>
        <v/>
      </c>
      <c r="F4" s="17">
        <f>E4*(1+Inputs!$C$12)</f>
        <v/>
      </c>
      <c r="G4" s="17">
        <f>F4*(1+Inputs!$C$12)</f>
        <v/>
      </c>
      <c r="H4" s="17">
        <f>G4*(1+Inputs!$C$12)</f>
        <v/>
      </c>
    </row>
    <row r="5" ht="18" customHeight="1">
      <c r="A5" s="7" t="inlineStr">
        <is>
          <t>Prevalence Rate</t>
        </is>
      </c>
      <c r="B5" s="8" t="inlineStr">
        <is>
          <t>rate</t>
        </is>
      </c>
      <c r="C5" s="18">
        <f>Inputs!B13</f>
        <v/>
      </c>
      <c r="D5" s="18">
        <f>C5*(1+Inputs!$C$13)</f>
        <v/>
      </c>
      <c r="E5" s="18">
        <f>D5*(1+Inputs!$C$13)</f>
        <v/>
      </c>
      <c r="F5" s="18">
        <f>E5*(1+Inputs!$C$13)</f>
        <v/>
      </c>
      <c r="G5" s="18">
        <f>F5*(1+Inputs!$C$13)</f>
        <v/>
      </c>
      <c r="H5" s="18">
        <f>G5*(1+Inputs!$C$13)</f>
        <v/>
      </c>
    </row>
    <row r="6" ht="18" customHeight="1">
      <c r="A6" s="4" t="inlineStr">
        <is>
          <t>Diagnosis Rate</t>
        </is>
      </c>
      <c r="B6" s="6" t="inlineStr">
        <is>
          <t>%</t>
        </is>
      </c>
      <c r="C6" s="19">
        <f>Inputs!$B$14</f>
        <v/>
      </c>
      <c r="D6" s="19">
        <f>Inputs!$B$14</f>
        <v/>
      </c>
      <c r="E6" s="19">
        <f>Inputs!$B$14</f>
        <v/>
      </c>
      <c r="F6" s="19">
        <f>Inputs!$B$14</f>
        <v/>
      </c>
      <c r="G6" s="19">
        <f>Inputs!$B$14</f>
        <v/>
      </c>
      <c r="H6" s="19">
        <f>Inputs!$B$14</f>
        <v/>
      </c>
    </row>
    <row r="7" ht="18" customHeight="1">
      <c r="A7" s="7" t="inlineStr">
        <is>
          <t>Eligibility Rate (Biomarker+)</t>
        </is>
      </c>
      <c r="B7" s="8" t="inlineStr">
        <is>
          <t>%</t>
        </is>
      </c>
      <c r="C7" s="19">
        <f>Inputs!$B$15</f>
        <v/>
      </c>
      <c r="D7" s="19">
        <f>Inputs!$B$15</f>
        <v/>
      </c>
      <c r="E7" s="19">
        <f>Inputs!$B$15</f>
        <v/>
      </c>
      <c r="F7" s="19">
        <f>Inputs!$B$15</f>
        <v/>
      </c>
      <c r="G7" s="19">
        <f>Inputs!$B$15</f>
        <v/>
      </c>
      <c r="H7" s="19">
        <f>Inputs!$B$15</f>
        <v/>
      </c>
    </row>
    <row r="8" ht="18" customHeight="1">
      <c r="A8" s="4" t="inlineStr">
        <is>
          <t>Treatment Rate</t>
        </is>
      </c>
      <c r="B8" s="6" t="inlineStr">
        <is>
          <t>%</t>
        </is>
      </c>
      <c r="C8" s="19">
        <f>Inputs!$B$16</f>
        <v/>
      </c>
      <c r="D8" s="19">
        <f>Inputs!$B$16</f>
        <v/>
      </c>
      <c r="E8" s="19">
        <f>Inputs!$B$16</f>
        <v/>
      </c>
      <c r="F8" s="19">
        <f>Inputs!$B$16</f>
        <v/>
      </c>
      <c r="G8" s="19">
        <f>Inputs!$B$16</f>
        <v/>
      </c>
      <c r="H8" s="19">
        <f>Inputs!$B$16</f>
        <v/>
      </c>
    </row>
    <row r="9" ht="18" customHeight="1">
      <c r="A9" s="7" t="inlineStr">
        <is>
          <t>Class Share (PD-1 Inhibitors)</t>
        </is>
      </c>
      <c r="B9" s="8" t="inlineStr">
        <is>
          <t>%</t>
        </is>
      </c>
      <c r="C9" s="19">
        <f>Inputs!B34</f>
        <v/>
      </c>
      <c r="D9" s="19">
        <f>Inputs!C34</f>
        <v/>
      </c>
      <c r="E9" s="19">
        <f>Inputs!D34</f>
        <v/>
      </c>
      <c r="F9" s="19">
        <f>Inputs!E34</f>
        <v/>
      </c>
      <c r="G9" s="19">
        <f>Inputs!F34</f>
        <v/>
      </c>
      <c r="H9" s="19">
        <f>Inputs!G34</f>
        <v/>
      </c>
    </row>
    <row r="10" ht="18" customHeight="1">
      <c r="A10" s="4" t="inlineStr">
        <is>
          <t>Product Share (within class)</t>
        </is>
      </c>
      <c r="B10" s="6" t="inlineStr">
        <is>
          <t>%</t>
        </is>
      </c>
      <c r="C10" s="19">
        <f>Inputs!B35</f>
        <v/>
      </c>
      <c r="D10" s="19">
        <f>Inputs!C35</f>
        <v/>
      </c>
      <c r="E10" s="19">
        <f>Inputs!D35</f>
        <v/>
      </c>
      <c r="F10" s="19">
        <f>Inputs!E35</f>
        <v/>
      </c>
      <c r="G10" s="19">
        <f>Inputs!F35</f>
        <v/>
      </c>
      <c r="H10" s="19">
        <f>Inputs!G35</f>
        <v/>
      </c>
    </row>
    <row r="11" ht="18" customHeight="1">
      <c r="A11" s="7" t="inlineStr">
        <is>
          <t>Annual Cost per Patient (Gross)</t>
        </is>
      </c>
      <c r="B11" s="8" t="inlineStr">
        <is>
          <t>USD</t>
        </is>
      </c>
      <c r="C11" s="20">
        <f>Inputs!$B$27</f>
        <v/>
      </c>
      <c r="D11" s="20">
        <f>Inputs!$B$27</f>
        <v/>
      </c>
      <c r="E11" s="20">
        <f>Inputs!$B$27</f>
        <v/>
      </c>
      <c r="F11" s="20">
        <f>Inputs!$B$27</f>
        <v/>
      </c>
      <c r="G11" s="20">
        <f>Inputs!$B$27</f>
        <v/>
      </c>
      <c r="H11" s="20">
        <f>Inputs!$B$27</f>
        <v/>
      </c>
    </row>
    <row r="12" ht="18" customHeight="1">
      <c r="A12" s="4" t="inlineStr">
        <is>
          <t>Discount Rate</t>
        </is>
      </c>
      <c r="B12" s="6" t="inlineStr">
        <is>
          <t>%</t>
        </is>
      </c>
      <c r="C12" s="19">
        <f>Inputs!$B$28</f>
        <v/>
      </c>
      <c r="D12" s="19">
        <f>Inputs!$B$28</f>
        <v/>
      </c>
      <c r="E12" s="19">
        <f>Inputs!$B$28</f>
        <v/>
      </c>
      <c r="F12" s="19">
        <f>Inputs!$B$28</f>
        <v/>
      </c>
      <c r="G12" s="19">
        <f>Inputs!$B$28</f>
        <v/>
      </c>
      <c r="H12" s="19">
        <f>Inputs!$B$28</f>
        <v/>
      </c>
    </row>
    <row r="13" ht="18" customHeight="1">
      <c r="A13" s="7" t="inlineStr">
        <is>
          <t>Net Price per Patient</t>
        </is>
      </c>
      <c r="B13" s="8" t="inlineStr">
        <is>
          <t>USD</t>
        </is>
      </c>
      <c r="C13" s="21">
        <f>C11*(1-C12)</f>
        <v/>
      </c>
      <c r="D13" s="21">
        <f>D11*(1-D12)</f>
        <v/>
      </c>
      <c r="E13" s="21">
        <f>E11*(1-E12)</f>
        <v/>
      </c>
      <c r="F13" s="21">
        <f>F11*(1-F12)</f>
        <v/>
      </c>
      <c r="G13" s="21">
        <f>G11*(1-G12)</f>
        <v/>
      </c>
      <c r="H13" s="21">
        <f>H11*(1-H12)</f>
        <v/>
      </c>
    </row>
    <row r="14" ht="18" customHeight="1">
      <c r="A14" s="4" t="inlineStr">
        <is>
          <t>Compliance Rate</t>
        </is>
      </c>
      <c r="B14" s="6" t="inlineStr">
        <is>
          <t>%</t>
        </is>
      </c>
      <c r="C14" s="19">
        <f>Inputs!$B$30</f>
        <v/>
      </c>
      <c r="D14" s="19">
        <f>Inputs!$B$30</f>
        <v/>
      </c>
      <c r="E14" s="19">
        <f>Inputs!$B$30</f>
        <v/>
      </c>
      <c r="F14" s="19">
        <f>Inputs!$B$30</f>
        <v/>
      </c>
      <c r="G14" s="19">
        <f>Inputs!$B$30</f>
        <v/>
      </c>
      <c r="H14" s="19">
        <f>Inputs!$B$30</f>
        <v/>
      </c>
    </row>
    <row r="15" ht="20" customHeight="1">
      <c r="A15" s="16" t="inlineStr">
        <is>
          <t>SECTION 2 – Patient Funnel (Iterative Chain)</t>
        </is>
      </c>
      <c r="B15" s="14" t="n"/>
      <c r="C15" s="14" t="n"/>
      <c r="D15" s="14" t="n"/>
      <c r="E15" s="14" t="n"/>
      <c r="F15" s="14" t="n"/>
      <c r="G15" s="14" t="n"/>
      <c r="H15" s="14" t="n"/>
      <c r="I15" s="15" t="n"/>
    </row>
    <row r="16" ht="22" customHeight="1">
      <c r="A16" s="13" t="inlineStr">
        <is>
          <t>Patient Funnel Metric</t>
        </is>
      </c>
      <c r="B16" s="13" t="inlineStr">
        <is>
          <t>Unit</t>
        </is>
      </c>
      <c r="C16" s="13" t="inlineStr">
        <is>
          <t>2026</t>
        </is>
      </c>
      <c r="D16" s="13" t="inlineStr">
        <is>
          <t>2027</t>
        </is>
      </c>
      <c r="E16" s="13" t="inlineStr">
        <is>
          <t>2028</t>
        </is>
      </c>
      <c r="F16" s="13" t="inlineStr">
        <is>
          <t>2029</t>
        </is>
      </c>
      <c r="G16" s="13" t="inlineStr">
        <is>
          <t>2030</t>
        </is>
      </c>
      <c r="H16" s="13" t="inlineStr">
        <is>
          <t>2031</t>
        </is>
      </c>
    </row>
    <row r="17" ht="18" customHeight="1">
      <c r="A17" s="22" t="inlineStr">
        <is>
          <t>Total Population</t>
        </is>
      </c>
      <c r="B17" s="6" t="inlineStr">
        <is>
          <t>persons</t>
        </is>
      </c>
      <c r="C17" s="23">
        <f>C4</f>
        <v/>
      </c>
      <c r="D17" s="23">
        <f>D4</f>
        <v/>
      </c>
      <c r="E17" s="23">
        <f>E4</f>
        <v/>
      </c>
      <c r="F17" s="23">
        <f>F4</f>
        <v/>
      </c>
      <c r="G17" s="23">
        <f>G4</f>
        <v/>
      </c>
      <c r="H17" s="23">
        <f>H4</f>
        <v/>
      </c>
    </row>
    <row r="18" ht="18" customHeight="1">
      <c r="A18" s="24" t="inlineStr">
        <is>
          <t>Affected Population (Prevalent)</t>
        </is>
      </c>
      <c r="B18" s="8" t="inlineStr">
        <is>
          <t>persons</t>
        </is>
      </c>
      <c r="C18" s="23">
        <f>C17*C5</f>
        <v/>
      </c>
      <c r="D18" s="23">
        <f>D17*D5</f>
        <v/>
      </c>
      <c r="E18" s="23">
        <f>E17*E5</f>
        <v/>
      </c>
      <c r="F18" s="23">
        <f>F17*F5</f>
        <v/>
      </c>
      <c r="G18" s="23">
        <f>G17*G5</f>
        <v/>
      </c>
      <c r="H18" s="23">
        <f>H17*H5</f>
        <v/>
      </c>
    </row>
    <row r="19" ht="18" customHeight="1">
      <c r="A19" s="22" t="inlineStr">
        <is>
          <t>Diagnosed Population</t>
        </is>
      </c>
      <c r="B19" s="6" t="inlineStr">
        <is>
          <t>persons</t>
        </is>
      </c>
      <c r="C19" s="23">
        <f>C18*C6</f>
        <v/>
      </c>
      <c r="D19" s="23">
        <f>D18*D6</f>
        <v/>
      </c>
      <c r="E19" s="23">
        <f>E18*E6</f>
        <v/>
      </c>
      <c r="F19" s="23">
        <f>F18*F6</f>
        <v/>
      </c>
      <c r="G19" s="23">
        <f>G18*G6</f>
        <v/>
      </c>
      <c r="H19" s="23">
        <f>H18*H6</f>
        <v/>
      </c>
    </row>
    <row r="20" ht="18" customHeight="1">
      <c r="A20" s="24" t="inlineStr">
        <is>
          <t>Eligible Population (Biomarker+)</t>
        </is>
      </c>
      <c r="B20" s="8" t="inlineStr">
        <is>
          <t>persons</t>
        </is>
      </c>
      <c r="C20" s="23">
        <f>C19*C7</f>
        <v/>
      </c>
      <c r="D20" s="23">
        <f>D19*D7</f>
        <v/>
      </c>
      <c r="E20" s="23">
        <f>E19*E7</f>
        <v/>
      </c>
      <c r="F20" s="23">
        <f>F19*F7</f>
        <v/>
      </c>
      <c r="G20" s="23">
        <f>G19*G7</f>
        <v/>
      </c>
      <c r="H20" s="23">
        <f>H19*H7</f>
        <v/>
      </c>
    </row>
    <row r="21" ht="18" customHeight="1">
      <c r="A21" s="22" t="inlineStr">
        <is>
          <t>Treated Population</t>
        </is>
      </c>
      <c r="B21" s="6" t="inlineStr">
        <is>
          <t>persons</t>
        </is>
      </c>
      <c r="C21" s="23">
        <f>C20*C8</f>
        <v/>
      </c>
      <c r="D21" s="23">
        <f>D20*D8</f>
        <v/>
      </c>
      <c r="E21" s="23">
        <f>E20*E8</f>
        <v/>
      </c>
      <c r="F21" s="23">
        <f>F20*F8</f>
        <v/>
      </c>
      <c r="G21" s="23">
        <f>G20*G8</f>
        <v/>
      </c>
      <c r="H21" s="23">
        <f>H20*H8</f>
        <v/>
      </c>
    </row>
    <row r="22" ht="18" customHeight="1">
      <c r="A22" s="24" t="inlineStr">
        <is>
          <t>In-Class Patients (PD-1 Inhibitors)</t>
        </is>
      </c>
      <c r="B22" s="8" t="inlineStr">
        <is>
          <t>persons</t>
        </is>
      </c>
      <c r="C22" s="23">
        <f>C21*C9</f>
        <v/>
      </c>
      <c r="D22" s="23">
        <f>D21*D9</f>
        <v/>
      </c>
      <c r="E22" s="23">
        <f>E21*E9</f>
        <v/>
      </c>
      <c r="F22" s="23">
        <f>F21*F9</f>
        <v/>
      </c>
      <c r="G22" s="23">
        <f>G21*G9</f>
        <v/>
      </c>
      <c r="H22" s="23">
        <f>H21*H9</f>
        <v/>
      </c>
    </row>
    <row r="23" ht="18" customHeight="1">
      <c r="A23" s="22" t="inlineStr">
        <is>
          <t>On-Product Patients (Keytruda)</t>
        </is>
      </c>
      <c r="B23" s="6" t="inlineStr">
        <is>
          <t>persons</t>
        </is>
      </c>
      <c r="C23" s="23">
        <f>C22*C10</f>
        <v/>
      </c>
      <c r="D23" s="23">
        <f>D22*D10</f>
        <v/>
      </c>
      <c r="E23" s="23">
        <f>E22*E10</f>
        <v/>
      </c>
      <c r="F23" s="23">
        <f>F22*F10</f>
        <v/>
      </c>
      <c r="G23" s="23">
        <f>G22*G10</f>
        <v/>
      </c>
      <c r="H23" s="23">
        <f>H22*H10</f>
        <v/>
      </c>
    </row>
    <row r="24" ht="20" customHeight="1">
      <c r="A24" s="16" t="inlineStr">
        <is>
          <t>SECTION 3 – Revenue Calculations</t>
        </is>
      </c>
      <c r="B24" s="14" t="n"/>
      <c r="C24" s="14" t="n"/>
      <c r="D24" s="14" t="n"/>
      <c r="E24" s="14" t="n"/>
      <c r="F24" s="14" t="n"/>
      <c r="G24" s="14" t="n"/>
      <c r="H24" s="14" t="n"/>
      <c r="I24" s="15" t="n"/>
    </row>
    <row r="25" ht="22" customHeight="1">
      <c r="A25" s="13" t="inlineStr">
        <is>
          <t>Revenue Metric</t>
        </is>
      </c>
      <c r="B25" s="13" t="inlineStr">
        <is>
          <t>Unit</t>
        </is>
      </c>
      <c r="C25" s="13" t="inlineStr">
        <is>
          <t>2026</t>
        </is>
      </c>
      <c r="D25" s="13" t="inlineStr">
        <is>
          <t>2027</t>
        </is>
      </c>
      <c r="E25" s="13" t="inlineStr">
        <is>
          <t>2028</t>
        </is>
      </c>
      <c r="F25" s="13" t="inlineStr">
        <is>
          <t>2029</t>
        </is>
      </c>
      <c r="G25" s="13" t="inlineStr">
        <is>
          <t>2030</t>
        </is>
      </c>
      <c r="H25" s="13" t="inlineStr">
        <is>
          <t>2031</t>
        </is>
      </c>
    </row>
    <row r="26" ht="18" customHeight="1">
      <c r="A26" s="22" t="inlineStr">
        <is>
          <t>Gross Revenue</t>
        </is>
      </c>
      <c r="B26" s="6" t="inlineStr">
        <is>
          <t>USD</t>
        </is>
      </c>
      <c r="C26" s="21">
        <f>C23*C11</f>
        <v/>
      </c>
      <c r="D26" s="21">
        <f>D23*D11</f>
        <v/>
      </c>
      <c r="E26" s="21">
        <f>E23*E11</f>
        <v/>
      </c>
      <c r="F26" s="21">
        <f>F23*F11</f>
        <v/>
      </c>
      <c r="G26" s="21">
        <f>G23*G11</f>
        <v/>
      </c>
      <c r="H26" s="21">
        <f>H23*H11</f>
        <v/>
      </c>
    </row>
    <row r="27" ht="18" customHeight="1">
      <c r="A27" s="24" t="inlineStr">
        <is>
          <t>Net Revenue (post-discount)</t>
        </is>
      </c>
      <c r="B27" s="8" t="inlineStr">
        <is>
          <t>USD</t>
        </is>
      </c>
      <c r="C27" s="21">
        <f>C23*C13</f>
        <v/>
      </c>
      <c r="D27" s="21">
        <f>D23*D13</f>
        <v/>
      </c>
      <c r="E27" s="21">
        <f>E23*E13</f>
        <v/>
      </c>
      <c r="F27" s="21">
        <f>F23*F13</f>
        <v/>
      </c>
      <c r="G27" s="21">
        <f>G23*G13</f>
        <v/>
      </c>
      <c r="H27" s="21">
        <f>H23*H13</f>
        <v/>
      </c>
    </row>
    <row r="28" ht="18" customHeight="1">
      <c r="A28" s="25" t="inlineStr">
        <is>
          <t>Compliance-Adjusted Net Revenue</t>
        </is>
      </c>
      <c r="B28" s="26" t="inlineStr">
        <is>
          <t>USD</t>
        </is>
      </c>
      <c r="C28" s="27">
        <f>C27*C14</f>
        <v/>
      </c>
      <c r="D28" s="27">
        <f>D27*D14</f>
        <v/>
      </c>
      <c r="E28" s="27">
        <f>E27*E14</f>
        <v/>
      </c>
      <c r="F28" s="27">
        <f>F27*F14</f>
        <v/>
      </c>
      <c r="G28" s="27">
        <f>G27*G14</f>
        <v/>
      </c>
      <c r="H28" s="27">
        <f>H27*H14</f>
        <v/>
      </c>
    </row>
    <row r="29" ht="18" customHeight="1">
      <c r="A29" s="25" t="inlineStr">
        <is>
          <t>Compliance-Adjusted Net Revenue ($M)</t>
        </is>
      </c>
      <c r="B29" s="26" t="inlineStr">
        <is>
          <t>USD Millions</t>
        </is>
      </c>
      <c r="C29" s="28">
        <f>C28/1000000</f>
        <v/>
      </c>
      <c r="D29" s="28">
        <f>D28/1000000</f>
        <v/>
      </c>
      <c r="E29" s="28">
        <f>E28/1000000</f>
        <v/>
      </c>
      <c r="F29" s="28">
        <f>F28/1000000</f>
        <v/>
      </c>
      <c r="G29" s="28">
        <f>G28/1000000</f>
        <v/>
      </c>
      <c r="H29" s="28">
        <f>H28/1000000</f>
        <v/>
      </c>
    </row>
    <row r="30" ht="20" customHeight="1">
      <c r="A30" s="16" t="inlineStr">
        <is>
          <t>SECTION 4 – Year-over-Year Growth Metrics</t>
        </is>
      </c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 ht="22" customHeight="1">
      <c r="A31" s="13" t="inlineStr">
        <is>
          <t>Growth Metric</t>
        </is>
      </c>
      <c r="B31" s="13" t="inlineStr">
        <is>
          <t>Unit</t>
        </is>
      </c>
      <c r="C31" s="13" t="inlineStr">
        <is>
          <t>2026</t>
        </is>
      </c>
      <c r="D31" s="13" t="inlineStr">
        <is>
          <t>2027</t>
        </is>
      </c>
      <c r="E31" s="13" t="inlineStr">
        <is>
          <t>2028</t>
        </is>
      </c>
      <c r="F31" s="13" t="inlineStr">
        <is>
          <t>2029</t>
        </is>
      </c>
      <c r="G31" s="13" t="inlineStr">
        <is>
          <t>2030</t>
        </is>
      </c>
      <c r="H31" s="13" t="inlineStr">
        <is>
          <t>2031</t>
        </is>
      </c>
    </row>
    <row r="32" ht="18" customHeight="1">
      <c r="A32" s="4" t="inlineStr">
        <is>
          <t>YoY On-Product Patient Growth</t>
        </is>
      </c>
      <c r="B32" s="6" t="inlineStr">
        <is>
          <t>%</t>
        </is>
      </c>
      <c r="C32" s="6" t="inlineStr">
        <is>
          <t>N/A</t>
        </is>
      </c>
      <c r="D32" s="29">
        <f>IF(C23=0,"",(D23-C23)/C23)</f>
        <v/>
      </c>
      <c r="E32" s="29">
        <f>IF(D23=0,"",(E23-D23)/D23)</f>
        <v/>
      </c>
      <c r="F32" s="29">
        <f>IF(E23=0,"",(F23-E23)/E23)</f>
        <v/>
      </c>
      <c r="G32" s="29">
        <f>IF(F23=0,"",(G23-F23)/F23)</f>
        <v/>
      </c>
      <c r="H32" s="29">
        <f>IF(G23=0,"",(H23-G23)/G23)</f>
        <v/>
      </c>
    </row>
    <row r="33" ht="18" customHeight="1">
      <c r="A33" s="7" t="inlineStr">
        <is>
          <t>YoY Net Revenue Growth</t>
        </is>
      </c>
      <c r="B33" s="8" t="inlineStr">
        <is>
          <t>%</t>
        </is>
      </c>
      <c r="C33" s="8" t="inlineStr">
        <is>
          <t>N/A</t>
        </is>
      </c>
      <c r="D33" s="29">
        <f>IF(C28=0,"",(D28-C28)/C28)</f>
        <v/>
      </c>
      <c r="E33" s="29">
        <f>IF(D28=0,"",(E28-D28)/D28)</f>
        <v/>
      </c>
      <c r="F33" s="29">
        <f>IF(E28=0,"",(F28-E28)/E28)</f>
        <v/>
      </c>
      <c r="G33" s="29">
        <f>IF(F28=0,"",(G28-F28)/F28)</f>
        <v/>
      </c>
      <c r="H33" s="29">
        <f>IF(G28=0,"",(H28-G28)/G28)</f>
        <v/>
      </c>
    </row>
    <row r="34" ht="20" customHeight="1">
      <c r="A34" s="16" t="inlineStr">
        <is>
          <t>SECTION 5 – Cumulative &amp; Summary Totals</t>
        </is>
      </c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 ht="22" customHeight="1">
      <c r="A35" s="13" t="inlineStr">
        <is>
          <t>Cumulative Metric</t>
        </is>
      </c>
      <c r="B35" s="13" t="inlineStr">
        <is>
          <t>Unit</t>
        </is>
      </c>
      <c r="C35" s="13" t="inlineStr">
        <is>
          <t>2026</t>
        </is>
      </c>
      <c r="D35" s="13" t="inlineStr">
        <is>
          <t>2027</t>
        </is>
      </c>
      <c r="E35" s="13" t="inlineStr">
        <is>
          <t>2028</t>
        </is>
      </c>
      <c r="F35" s="13" t="inlineStr">
        <is>
          <t>2029</t>
        </is>
      </c>
      <c r="G35" s="13" t="inlineStr">
        <is>
          <t>2030</t>
        </is>
      </c>
      <c r="H35" s="13" t="inlineStr">
        <is>
          <t>2031</t>
        </is>
      </c>
    </row>
    <row r="36" ht="18" customHeight="1">
      <c r="A36" s="22" t="inlineStr">
        <is>
          <t>Cumulative Net Revenue (to date)</t>
        </is>
      </c>
      <c r="B36" s="6" t="inlineStr">
        <is>
          <t>USD</t>
        </is>
      </c>
      <c r="C36" s="21">
        <f>C28</f>
        <v/>
      </c>
      <c r="D36" s="21">
        <f>C36+D28</f>
        <v/>
      </c>
      <c r="E36" s="21">
        <f>D36+E28</f>
        <v/>
      </c>
      <c r="F36" s="21">
        <f>E36+F28</f>
        <v/>
      </c>
      <c r="G36" s="21">
        <f>F36+G28</f>
        <v/>
      </c>
      <c r="H36" s="21">
        <f>G36+H28</f>
        <v/>
      </c>
    </row>
    <row r="37" ht="18" customHeight="1">
      <c r="A37" s="25" t="inlineStr">
        <is>
          <t>Cumulative Net Revenue ($M)</t>
        </is>
      </c>
      <c r="B37" s="26" t="inlineStr">
        <is>
          <t>USD Millions</t>
        </is>
      </c>
      <c r="C37" s="28">
        <f>C36/1000000</f>
        <v/>
      </c>
      <c r="D37" s="28">
        <f>D36/1000000</f>
        <v/>
      </c>
      <c r="E37" s="28">
        <f>E36/1000000</f>
        <v/>
      </c>
      <c r="F37" s="28">
        <f>F36/1000000</f>
        <v/>
      </c>
      <c r="G37" s="28">
        <f>G36/1000000</f>
        <v/>
      </c>
      <c r="H37" s="28">
        <f>H36/1000000</f>
        <v/>
      </c>
    </row>
  </sheetData>
  <mergeCells count="6">
    <mergeCell ref="A15:I15"/>
    <mergeCell ref="A2:I2"/>
    <mergeCell ref="A1:I1"/>
    <mergeCell ref="A34:I34"/>
    <mergeCell ref="A24:I24"/>
    <mergeCell ref="A30:I30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30" t="inlineStr">
        <is>
          <t>KEYTRUDA (PD-1 INHIBITOR) — ONCOLOGY FORECAST SUMMARY</t>
        </is>
      </c>
    </row>
    <row r="2" ht="20" customHeight="1">
      <c r="A2" s="31" t="inlineStr">
        <is>
          <t>United States  |  Launch: 2026  |  Peak: 2031  |  Forecast Period: 2026–2031</t>
        </is>
      </c>
    </row>
    <row r="3" ht="20" customHeight="1">
      <c r="A3" s="16" t="inlineStr">
        <is>
          <t>SECTION 1 – Key Financial Outputs</t>
        </is>
      </c>
    </row>
    <row r="4" ht="22" customHeight="1">
      <c r="A4" s="13" t="inlineStr">
        <is>
          <t>Metric</t>
        </is>
      </c>
      <c r="B4" s="13" t="inlineStr">
        <is>
          <t>Unit</t>
        </is>
      </c>
      <c r="C4" s="13" t="inlineStr">
        <is>
          <t>2026</t>
        </is>
      </c>
      <c r="D4" s="13" t="inlineStr">
        <is>
          <t>2027</t>
        </is>
      </c>
      <c r="E4" s="13" t="inlineStr">
        <is>
          <t>2028</t>
        </is>
      </c>
      <c r="F4" s="13" t="inlineStr">
        <is>
          <t>2029</t>
        </is>
      </c>
      <c r="G4" s="13" t="inlineStr">
        <is>
          <t>2030</t>
        </is>
      </c>
      <c r="H4" s="13" t="inlineStr">
        <is>
          <t>2031</t>
        </is>
      </c>
    </row>
    <row r="5" ht="18" customHeight="1">
      <c r="A5" s="25" t="inlineStr">
        <is>
          <t>Compliance-Adjusted Net Revenue</t>
        </is>
      </c>
      <c r="B5" s="32" t="inlineStr">
        <is>
          <t>USD</t>
        </is>
      </c>
      <c r="C5" s="27">
        <f>Calculations!C28</f>
        <v/>
      </c>
      <c r="D5" s="27">
        <f>Calculations!D28</f>
        <v/>
      </c>
      <c r="E5" s="27">
        <f>Calculations!E28</f>
        <v/>
      </c>
      <c r="F5" s="27">
        <f>Calculations!F28</f>
        <v/>
      </c>
      <c r="G5" s="27">
        <f>Calculations!G28</f>
        <v/>
      </c>
      <c r="H5" s="27">
        <f>Calculations!H28</f>
        <v/>
      </c>
    </row>
    <row r="6" ht="18" customHeight="1">
      <c r="A6" s="25" t="inlineStr">
        <is>
          <t>Net Revenue ($M)</t>
        </is>
      </c>
      <c r="B6" s="32" t="inlineStr">
        <is>
          <t>USD Millions</t>
        </is>
      </c>
      <c r="C6" s="28">
        <f>Calculations!C29</f>
        <v/>
      </c>
      <c r="D6" s="28">
        <f>Calculations!D29</f>
        <v/>
      </c>
      <c r="E6" s="28">
        <f>Calculations!E29</f>
        <v/>
      </c>
      <c r="F6" s="28">
        <f>Calculations!F29</f>
        <v/>
      </c>
      <c r="G6" s="28">
        <f>Calculations!G29</f>
        <v/>
      </c>
      <c r="H6" s="28">
        <f>Calculations!H29</f>
        <v/>
      </c>
    </row>
    <row r="7" ht="18" customHeight="1">
      <c r="A7" s="33" t="inlineStr">
        <is>
          <t>Gross Revenue</t>
        </is>
      </c>
      <c r="B7" s="34" t="inlineStr">
        <is>
          <t>USD</t>
        </is>
      </c>
      <c r="C7" s="35">
        <f>Calculations!C26</f>
        <v/>
      </c>
      <c r="D7" s="35">
        <f>Calculations!D26</f>
        <v/>
      </c>
      <c r="E7" s="35">
        <f>Calculations!E26</f>
        <v/>
      </c>
      <c r="F7" s="35">
        <f>Calculations!F26</f>
        <v/>
      </c>
      <c r="G7" s="35">
        <f>Calculations!G26</f>
        <v/>
      </c>
      <c r="H7" s="35">
        <f>Calculations!H26</f>
        <v/>
      </c>
    </row>
    <row r="8" ht="18" customHeight="1">
      <c r="A8" s="36" t="inlineStr">
        <is>
          <t>Net Revenue (post-discount)</t>
        </is>
      </c>
      <c r="B8" s="37" t="inlineStr">
        <is>
          <t>USD</t>
        </is>
      </c>
      <c r="C8" s="38">
        <f>Calculations!C27</f>
        <v/>
      </c>
      <c r="D8" s="38">
        <f>Calculations!D27</f>
        <v/>
      </c>
      <c r="E8" s="38">
        <f>Calculations!E27</f>
        <v/>
      </c>
      <c r="F8" s="38">
        <f>Calculations!F27</f>
        <v/>
      </c>
      <c r="G8" s="38">
        <f>Calculations!G27</f>
        <v/>
      </c>
      <c r="H8" s="38">
        <f>Calculations!H27</f>
        <v/>
      </c>
    </row>
    <row r="9" ht="18" customHeight="1">
      <c r="A9" s="22" t="inlineStr">
        <is>
          <t>Cumulative Net Revenue (to date)</t>
        </is>
      </c>
      <c r="B9" s="34" t="inlineStr">
        <is>
          <t>USD</t>
        </is>
      </c>
      <c r="C9" s="39">
        <f>Calculations!C36</f>
        <v/>
      </c>
      <c r="D9" s="39">
        <f>Calculations!D36</f>
        <v/>
      </c>
      <c r="E9" s="39">
        <f>Calculations!E36</f>
        <v/>
      </c>
      <c r="F9" s="39">
        <f>Calculations!F36</f>
        <v/>
      </c>
      <c r="G9" s="39">
        <f>Calculations!G36</f>
        <v/>
      </c>
      <c r="H9" s="39">
        <f>Calculations!H36</f>
        <v/>
      </c>
    </row>
    <row r="10" ht="18" customHeight="1">
      <c r="A10" s="24" t="inlineStr">
        <is>
          <t>Cumulative Net Revenue ($M)</t>
        </is>
      </c>
      <c r="B10" s="37" t="inlineStr">
        <is>
          <t>USD Millions</t>
        </is>
      </c>
      <c r="C10" s="40">
        <f>Calculations!C37</f>
        <v/>
      </c>
      <c r="D10" s="40">
        <f>Calculations!D37</f>
        <v/>
      </c>
      <c r="E10" s="40">
        <f>Calculations!E37</f>
        <v/>
      </c>
      <c r="F10" s="40">
        <f>Calculations!F37</f>
        <v/>
      </c>
      <c r="G10" s="40">
        <f>Calculations!G37</f>
        <v/>
      </c>
      <c r="H10" s="40">
        <f>Calculations!H37</f>
        <v/>
      </c>
    </row>
    <row r="11" ht="18" customHeight="1">
      <c r="A11" s="33" t="inlineStr">
        <is>
          <t>YoY Net Revenue Growth</t>
        </is>
      </c>
      <c r="B11" s="34" t="inlineStr">
        <is>
          <t>%</t>
        </is>
      </c>
      <c r="C11" s="41">
        <f>Calculations!C33</f>
        <v/>
      </c>
      <c r="D11" s="41">
        <f>Calculations!D33</f>
        <v/>
      </c>
      <c r="E11" s="41">
        <f>Calculations!E33</f>
        <v/>
      </c>
      <c r="F11" s="41">
        <f>Calculations!F33</f>
        <v/>
      </c>
      <c r="G11" s="41">
        <f>Calculations!G33</f>
        <v/>
      </c>
      <c r="H11" s="41">
        <f>Calculations!H33</f>
        <v/>
      </c>
    </row>
    <row r="12" ht="20" customHeight="1">
      <c r="A12" s="16" t="inlineStr">
        <is>
          <t>SECTION 2 – Patient Funnel Summary</t>
        </is>
      </c>
    </row>
    <row r="13" ht="22" customHeight="1">
      <c r="A13" s="13" t="inlineStr">
        <is>
          <t>Metric</t>
        </is>
      </c>
      <c r="B13" s="13" t="inlineStr">
        <is>
          <t>Unit</t>
        </is>
      </c>
      <c r="C13" s="13" t="inlineStr">
        <is>
          <t>2026</t>
        </is>
      </c>
      <c r="D13" s="13" t="inlineStr">
        <is>
          <t>2027</t>
        </is>
      </c>
      <c r="E13" s="13" t="inlineStr">
        <is>
          <t>2028</t>
        </is>
      </c>
      <c r="F13" s="13" t="inlineStr">
        <is>
          <t>2029</t>
        </is>
      </c>
      <c r="G13" s="13" t="inlineStr">
        <is>
          <t>2030</t>
        </is>
      </c>
      <c r="H13" s="13" t="inlineStr">
        <is>
          <t>2031</t>
        </is>
      </c>
    </row>
    <row r="14" ht="18" customHeight="1">
      <c r="A14" s="33" t="inlineStr">
        <is>
          <t>Total Population</t>
        </is>
      </c>
      <c r="B14" s="34" t="inlineStr">
        <is>
          <t>persons</t>
        </is>
      </c>
      <c r="C14" s="42">
        <f>Calculations!C17</f>
        <v/>
      </c>
      <c r="D14" s="42">
        <f>Calculations!D17</f>
        <v/>
      </c>
      <c r="E14" s="42">
        <f>Calculations!E17</f>
        <v/>
      </c>
      <c r="F14" s="42">
        <f>Calculations!F17</f>
        <v/>
      </c>
      <c r="G14" s="42">
        <f>Calculations!G17</f>
        <v/>
      </c>
      <c r="H14" s="42">
        <f>Calculations!H17</f>
        <v/>
      </c>
    </row>
    <row r="15" ht="18" customHeight="1">
      <c r="A15" s="36" t="inlineStr">
        <is>
          <t>Affected Population (Prevalent)</t>
        </is>
      </c>
      <c r="B15" s="37" t="inlineStr">
        <is>
          <t>persons</t>
        </is>
      </c>
      <c r="C15" s="43">
        <f>Calculations!C18</f>
        <v/>
      </c>
      <c r="D15" s="43">
        <f>Calculations!D18</f>
        <v/>
      </c>
      <c r="E15" s="43">
        <f>Calculations!E18</f>
        <v/>
      </c>
      <c r="F15" s="43">
        <f>Calculations!F18</f>
        <v/>
      </c>
      <c r="G15" s="43">
        <f>Calculations!G18</f>
        <v/>
      </c>
      <c r="H15" s="43">
        <f>Calculations!H18</f>
        <v/>
      </c>
    </row>
    <row r="16" ht="18" customHeight="1">
      <c r="A16" s="33" t="inlineStr">
        <is>
          <t>Diagnosed Population</t>
        </is>
      </c>
      <c r="B16" s="34" t="inlineStr">
        <is>
          <t>persons</t>
        </is>
      </c>
      <c r="C16" s="42">
        <f>Calculations!C19</f>
        <v/>
      </c>
      <c r="D16" s="42">
        <f>Calculations!D19</f>
        <v/>
      </c>
      <c r="E16" s="42">
        <f>Calculations!E19</f>
        <v/>
      </c>
      <c r="F16" s="42">
        <f>Calculations!F19</f>
        <v/>
      </c>
      <c r="G16" s="42">
        <f>Calculations!G19</f>
        <v/>
      </c>
      <c r="H16" s="42">
        <f>Calculations!H19</f>
        <v/>
      </c>
    </row>
    <row r="17" ht="18" customHeight="1">
      <c r="A17" s="36" t="inlineStr">
        <is>
          <t>Eligible Population (Biomarker+)</t>
        </is>
      </c>
      <c r="B17" s="37" t="inlineStr">
        <is>
          <t>persons</t>
        </is>
      </c>
      <c r="C17" s="43">
        <f>Calculations!C20</f>
        <v/>
      </c>
      <c r="D17" s="43">
        <f>Calculations!D20</f>
        <v/>
      </c>
      <c r="E17" s="43">
        <f>Calculations!E20</f>
        <v/>
      </c>
      <c r="F17" s="43">
        <f>Calculations!F20</f>
        <v/>
      </c>
      <c r="G17" s="43">
        <f>Calculations!G20</f>
        <v/>
      </c>
      <c r="H17" s="43">
        <f>Calculations!H20</f>
        <v/>
      </c>
    </row>
    <row r="18" ht="18" customHeight="1">
      <c r="A18" s="33" t="inlineStr">
        <is>
          <t>Treated Population</t>
        </is>
      </c>
      <c r="B18" s="34" t="inlineStr">
        <is>
          <t>persons</t>
        </is>
      </c>
      <c r="C18" s="42">
        <f>Calculations!C21</f>
        <v/>
      </c>
      <c r="D18" s="42">
        <f>Calculations!D21</f>
        <v/>
      </c>
      <c r="E18" s="42">
        <f>Calculations!E21</f>
        <v/>
      </c>
      <c r="F18" s="42">
        <f>Calculations!F21</f>
        <v/>
      </c>
      <c r="G18" s="42">
        <f>Calculations!G21</f>
        <v/>
      </c>
      <c r="H18" s="42">
        <f>Calculations!H21</f>
        <v/>
      </c>
    </row>
    <row r="19" ht="18" customHeight="1">
      <c r="A19" s="36" t="inlineStr">
        <is>
          <t>In-Class Patients (PD-1 Inhibitors)</t>
        </is>
      </c>
      <c r="B19" s="37" t="inlineStr">
        <is>
          <t>persons</t>
        </is>
      </c>
      <c r="C19" s="43">
        <f>Calculations!C22</f>
        <v/>
      </c>
      <c r="D19" s="43">
        <f>Calculations!D22</f>
        <v/>
      </c>
      <c r="E19" s="43">
        <f>Calculations!E22</f>
        <v/>
      </c>
      <c r="F19" s="43">
        <f>Calculations!F22</f>
        <v/>
      </c>
      <c r="G19" s="43">
        <f>Calculations!G22</f>
        <v/>
      </c>
      <c r="H19" s="43">
        <f>Calculations!H22</f>
        <v/>
      </c>
    </row>
    <row r="20" ht="18" customHeight="1">
      <c r="A20" s="25" t="inlineStr">
        <is>
          <t>On-Product Patients (Keytruda)</t>
        </is>
      </c>
      <c r="B20" s="32" t="inlineStr">
        <is>
          <t>persons</t>
        </is>
      </c>
      <c r="C20" s="44">
        <f>Calculations!C23</f>
        <v/>
      </c>
      <c r="D20" s="44">
        <f>Calculations!D23</f>
        <v/>
      </c>
      <c r="E20" s="44">
        <f>Calculations!E23</f>
        <v/>
      </c>
      <c r="F20" s="44">
        <f>Calculations!F23</f>
        <v/>
      </c>
      <c r="G20" s="44">
        <f>Calculations!G23</f>
        <v/>
      </c>
      <c r="H20" s="44">
        <f>Calculations!H23</f>
        <v/>
      </c>
    </row>
    <row r="21" ht="18" customHeight="1">
      <c r="A21" s="36" t="inlineStr">
        <is>
          <t>YoY On-Product Patient Growth</t>
        </is>
      </c>
      <c r="B21" s="37" t="inlineStr">
        <is>
          <t>%</t>
        </is>
      </c>
      <c r="C21" s="45">
        <f>Calculations!C32</f>
        <v/>
      </c>
      <c r="D21" s="45">
        <f>Calculations!D32</f>
        <v/>
      </c>
      <c r="E21" s="45">
        <f>Calculations!E32</f>
        <v/>
      </c>
      <c r="F21" s="45">
        <f>Calculations!F32</f>
        <v/>
      </c>
      <c r="G21" s="45">
        <f>Calculations!G32</f>
        <v/>
      </c>
      <c r="H21" s="45">
        <f>Calculations!H32</f>
        <v/>
      </c>
    </row>
    <row r="22" ht="20" customHeight="1">
      <c r="A22" s="16" t="inlineStr">
        <is>
          <t>SECTION 3 – Market Share &amp; Pricing Assumptions</t>
        </is>
      </c>
    </row>
    <row r="23" ht="22" customHeight="1">
      <c r="A23" s="13" t="inlineStr">
        <is>
          <t>Metric</t>
        </is>
      </c>
      <c r="B23" s="13" t="inlineStr">
        <is>
          <t>Unit</t>
        </is>
      </c>
      <c r="C23" s="13" t="inlineStr">
        <is>
          <t>2026</t>
        </is>
      </c>
      <c r="D23" s="13" t="inlineStr">
        <is>
          <t>2027</t>
        </is>
      </c>
      <c r="E23" s="13" t="inlineStr">
        <is>
          <t>2028</t>
        </is>
      </c>
      <c r="F23" s="13" t="inlineStr">
        <is>
          <t>2029</t>
        </is>
      </c>
      <c r="G23" s="13" t="inlineStr">
        <is>
          <t>2030</t>
        </is>
      </c>
      <c r="H23" s="13" t="inlineStr">
        <is>
          <t>2031</t>
        </is>
      </c>
    </row>
    <row r="24" ht="18" customHeight="1">
      <c r="A24" s="33" t="inlineStr">
        <is>
          <t>Class Share (PD-1 Inhibitors)</t>
        </is>
      </c>
      <c r="B24" s="34" t="inlineStr">
        <is>
          <t>%</t>
        </is>
      </c>
      <c r="C24" s="46">
        <f>Calculations!C9</f>
        <v/>
      </c>
      <c r="D24" s="46">
        <f>Calculations!D9</f>
        <v/>
      </c>
      <c r="E24" s="46">
        <f>Calculations!E9</f>
        <v/>
      </c>
      <c r="F24" s="46">
        <f>Calculations!F9</f>
        <v/>
      </c>
      <c r="G24" s="46">
        <f>Calculations!G9</f>
        <v/>
      </c>
      <c r="H24" s="46">
        <f>Calculations!H9</f>
        <v/>
      </c>
    </row>
    <row r="25" ht="18" customHeight="1">
      <c r="A25" s="36" t="inlineStr">
        <is>
          <t>Product Share (within class)</t>
        </is>
      </c>
      <c r="B25" s="37" t="inlineStr">
        <is>
          <t>%</t>
        </is>
      </c>
      <c r="C25" s="47">
        <f>Calculations!C10</f>
        <v/>
      </c>
      <c r="D25" s="47">
        <f>Calculations!D10</f>
        <v/>
      </c>
      <c r="E25" s="47">
        <f>Calculations!E10</f>
        <v/>
      </c>
      <c r="F25" s="47">
        <f>Calculations!F10</f>
        <v/>
      </c>
      <c r="G25" s="47">
        <f>Calculations!G10</f>
        <v/>
      </c>
      <c r="H25" s="47">
        <f>Calculations!H10</f>
        <v/>
      </c>
    </row>
    <row r="26" ht="18" customHeight="1">
      <c r="A26" s="33" t="inlineStr">
        <is>
          <t>Net Price per Patient</t>
        </is>
      </c>
      <c r="B26" s="34" t="inlineStr">
        <is>
          <t>USD</t>
        </is>
      </c>
      <c r="C26" s="35">
        <f>Calculations!C13</f>
        <v/>
      </c>
      <c r="D26" s="35">
        <f>Calculations!D13</f>
        <v/>
      </c>
      <c r="E26" s="35">
        <f>Calculations!E13</f>
        <v/>
      </c>
      <c r="F26" s="35">
        <f>Calculations!F13</f>
        <v/>
      </c>
      <c r="G26" s="35">
        <f>Calculations!G13</f>
        <v/>
      </c>
      <c r="H26" s="35">
        <f>Calculations!H13</f>
        <v/>
      </c>
    </row>
    <row r="27" ht="18" customHeight="1">
      <c r="A27" s="36" t="inlineStr">
        <is>
          <t>Compliance Rate</t>
        </is>
      </c>
      <c r="B27" s="37" t="inlineStr">
        <is>
          <t>%</t>
        </is>
      </c>
      <c r="C27" s="47">
        <f>Calculations!C14</f>
        <v/>
      </c>
      <c r="D27" s="47">
        <f>Calculations!D14</f>
        <v/>
      </c>
      <c r="E27" s="47">
        <f>Calculations!E14</f>
        <v/>
      </c>
      <c r="F27" s="47">
        <f>Calculations!F14</f>
        <v/>
      </c>
      <c r="G27" s="47">
        <f>Calculations!G14</f>
        <v/>
      </c>
      <c r="H27" s="47">
        <f>Calculations!H14</f>
        <v/>
      </c>
    </row>
    <row r="28" ht="20" customHeight="1">
      <c r="A28" s="3" t="inlineStr">
        <is>
          <t>SECTION 4 – KPI Snapshot (Forecast Period 2026–2031)</t>
        </is>
      </c>
    </row>
    <row r="29" ht="18" customHeight="1">
      <c r="A29" s="22" t="inlineStr">
        <is>
          <t>Peak Year On-Product Patients</t>
        </is>
      </c>
      <c r="B29" s="34" t="inlineStr">
        <is>
          <t>Value</t>
        </is>
      </c>
      <c r="C29" s="48">
        <f>Calculations!H23</f>
        <v/>
      </c>
    </row>
    <row r="30" ht="18" customHeight="1">
      <c r="A30" s="24" t="inlineStr">
        <is>
          <t>Peak Year Net Revenue ($M)</t>
        </is>
      </c>
      <c r="B30" s="37" t="inlineStr">
        <is>
          <t>Value</t>
        </is>
      </c>
      <c r="C30" s="49">
        <f>Calculations!H29</f>
        <v/>
      </c>
    </row>
    <row r="31" ht="18" customHeight="1">
      <c r="A31" s="22" t="inlineStr">
        <is>
          <t>Total Cumulative Net Revenue ($M)</t>
        </is>
      </c>
      <c r="B31" s="34" t="inlineStr">
        <is>
          <t>Value</t>
        </is>
      </c>
      <c r="C31" s="49">
        <f>Calculations!H37</f>
        <v/>
      </c>
    </row>
    <row r="32" ht="18" customHeight="1">
      <c r="A32" s="24" t="inlineStr">
        <is>
          <t>Peak Class Share</t>
        </is>
      </c>
      <c r="B32" s="37" t="inlineStr">
        <is>
          <t>Value</t>
        </is>
      </c>
      <c r="C32" s="50">
        <f>Calculations!H9</f>
        <v/>
      </c>
    </row>
    <row r="33" ht="18" customHeight="1">
      <c r="A33" s="22" t="inlineStr">
        <is>
          <t>Peak Product Share</t>
        </is>
      </c>
      <c r="B33" s="34" t="inlineStr">
        <is>
          <t>Value</t>
        </is>
      </c>
      <c r="C33" s="50">
        <f>Calculations!H10</f>
        <v/>
      </c>
    </row>
    <row r="34" ht="18" customHeight="1">
      <c r="A34" s="24" t="inlineStr">
        <is>
          <t>Net Price per Patient (Year 1)</t>
        </is>
      </c>
      <c r="B34" s="37" t="inlineStr">
        <is>
          <t>Value</t>
        </is>
      </c>
      <c r="C34" s="51">
        <f>Calculations!C13</f>
        <v/>
      </c>
    </row>
    <row r="35" ht="20" customHeight="1">
      <c r="A35" s="3" t="inlineStr">
        <is>
          <t>SECTION 5 – Model Notes &amp; Key Assumptions</t>
        </is>
      </c>
    </row>
    <row r="36" ht="18" customHeight="1">
      <c r="A36" s="52" t="inlineStr">
        <is>
          <t xml:space="preserve">  • Forecast Period: 2026–2031 (6 years, launch year to peak year inclusive)</t>
        </is>
      </c>
    </row>
    <row r="37" ht="18" customHeight="1">
      <c r="A37" s="53" t="inlineStr">
        <is>
          <t xml:space="preserve">  • Patient Funnel: Population → Prevalence → Diagnosis (92%) → Eligibility/Biomarker+ (68%) → Treatment (77%) → Class Share (S-curve) → Product Share (S-curve)</t>
        </is>
      </c>
    </row>
    <row r="38" ht="18" customHeight="1">
      <c r="A38" s="52" t="inlineStr">
        <is>
          <t xml:space="preserve">  • Class Share: S-curve ramp from 5% (2026) to 44% (2031); Product Share: S-curve from 3% (2026) to 31% (2031)</t>
        </is>
      </c>
    </row>
    <row r="39" ht="18" customHeight="1">
      <c r="A39" s="53" t="inlineStr">
        <is>
          <t xml:space="preserve">  • Pricing: Gross $185,000/patient; Discount 22%; Net ~$144,300/patient; Compliance 85%</t>
        </is>
      </c>
    </row>
    <row r="40" ht="18" customHeight="1">
      <c r="A40" s="52" t="inlineStr">
        <is>
          <t xml:space="preserve">  • Population Growth: 0.5% YoY; Prevalence Growth: 10% YoY (GLOBOCAN 2023 basis)</t>
        </is>
      </c>
    </row>
    <row r="41" ht="18" customHeight="1">
      <c r="A41" s="53" t="inlineStr">
        <is>
          <t xml:space="preserve">  • All revenue figures in USD. Compliance-adjusted revenue = On-Product Patients × Net Price × Compliance Rate</t>
        </is>
      </c>
    </row>
    <row r="42" ht="18" customHeight="1">
      <c r="A42" s="52" t="inlineStr">
        <is>
          <t xml:space="preserve">  • Source: Inputs sheet (assumptions) → Calculations sheet (patient funnel &amp; revenue) → Summary sheet (this view)</t>
        </is>
      </c>
    </row>
  </sheetData>
  <mergeCells count="20">
    <mergeCell ref="A41:I41"/>
    <mergeCell ref="A37:I37"/>
    <mergeCell ref="C32:I32"/>
    <mergeCell ref="A3:I3"/>
    <mergeCell ref="A12:I12"/>
    <mergeCell ref="A2:I2"/>
    <mergeCell ref="A42:I42"/>
    <mergeCell ref="C34:I34"/>
    <mergeCell ref="C30:I30"/>
    <mergeCell ref="A22:I22"/>
    <mergeCell ref="C33:I33"/>
    <mergeCell ref="A35:I35"/>
    <mergeCell ref="A38:I38"/>
    <mergeCell ref="A28:I28"/>
    <mergeCell ref="A40:I40"/>
    <mergeCell ref="C29:I29"/>
    <mergeCell ref="A39:I39"/>
    <mergeCell ref="C31:I31"/>
    <mergeCell ref="A36:I36"/>
    <mergeCell ref="A1:I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2026-04-02T13:21:19Z</dcterms:created>
  <dcterms:modified xsi:type="dcterms:W3CDTF">2026-04-02T13:24:40Z</dcterms:modified>
</cp:coreProperties>
</file>